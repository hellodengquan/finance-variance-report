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报告概览" sheetId="1" r:id="rId1"/>
    <sheet name="科目差异汇总" sheetId="2" r:id="rId2"/>
    <sheet name="期间趋势分析" sheetId="3" r:id="rId3"/>
    <sheet name="重大异常分析" sheetId="4" r:id="rId4"/>
    <sheet name="累计偏离分析" sheetId="5" r:id="rId5"/>
    <sheet name="详细数据" sheetId="6" r:id="rId6"/>
  </sheets>
  <definedNames>
    <definedName name="_xlnm._FilterDatabase" localSheetId="1" hidden="1">科目差异汇总!$A$1:$F$10</definedName>
    <definedName name="_xlnm._FilterDatabase" localSheetId="5" hidden="1">详细数据!$A$1:$K$55</definedName>
  </definedNames>
  <calcPr calcId="124519" fullCalcOnLoad="1"/>
</workbook>
</file>

<file path=xl/sharedStrings.xml><?xml version="1.0" encoding="utf-8"?>
<sst xmlns="http://schemas.openxmlformats.org/spreadsheetml/2006/main" count="362" uniqueCount="82">
  <si>
    <t>财务差异分析报告</t>
  </si>
  <si>
    <t>公司名称</t>
  </si>
  <si>
    <t>示例公司</t>
  </si>
  <si>
    <t>生成时间</t>
  </si>
  <si>
    <t>2026年06月17日 15:29:18</t>
  </si>
  <si>
    <t>分析期间</t>
  </si>
  <si>
    <t>全年</t>
  </si>
  <si>
    <t>异常阈值</t>
  </si>
  <si>
    <t>5%</t>
  </si>
  <si>
    <t>颜色分级阈值</t>
  </si>
  <si>
    <t>一级: ±5% / 二级: ±10% / 三级: ±20%</t>
  </si>
  <si>
    <t>核心指标</t>
  </si>
  <si>
    <t>预算总额</t>
  </si>
  <si>
    <t>实际总额</t>
  </si>
  <si>
    <t>总差异</t>
  </si>
  <si>
    <t>总差异率</t>
  </si>
  <si>
    <t>科目差异分布</t>
  </si>
  <si>
    <t>✅ 有利差异科目</t>
  </si>
  <si>
    <t>⚠️ 不利差异科目</t>
  </si>
  <si>
    <t>➖ 预算持平科目</t>
  </si>
  <si>
    <t>说明</t>
  </si>
  <si>
    <t>1. 绝对差异 = 实际金额 - 预算金额</t>
  </si>
  <si>
    <t>2. 相对差异 = 绝对差异 / 预算金额 × 100%</t>
  </si>
  <si>
    <t>3. 颜色分级：0~±5% 正常色；±5%~±10% 浅色；±10%~±20% 中色；&gt;±20% 深色</t>
  </si>
  <si>
    <t>4. 【待核实】标记的成因需人工确认</t>
  </si>
  <si>
    <t>科目编码</t>
  </si>
  <si>
    <t>科目名称</t>
  </si>
  <si>
    <t>预算金额</t>
  </si>
  <si>
    <t>实际金额</t>
  </si>
  <si>
    <t>绝对差异</t>
  </si>
  <si>
    <t>相对差异</t>
  </si>
  <si>
    <t>6001</t>
  </si>
  <si>
    <t>主营业务收入</t>
  </si>
  <si>
    <t>6401</t>
  </si>
  <si>
    <t>主营业务成本</t>
  </si>
  <si>
    <t>6602</t>
  </si>
  <si>
    <t>管理费用</t>
  </si>
  <si>
    <t>6601</t>
  </si>
  <si>
    <t>销售费用</t>
  </si>
  <si>
    <t>6801</t>
  </si>
  <si>
    <t>所得税费用</t>
  </si>
  <si>
    <t>6603</t>
  </si>
  <si>
    <t>财务费用</t>
  </si>
  <si>
    <t>6403</t>
  </si>
  <si>
    <t>税金及附加</t>
  </si>
  <si>
    <t>6711</t>
  </si>
  <si>
    <t>营业外支出</t>
  </si>
  <si>
    <t>6301</t>
  </si>
  <si>
    <t>营业外收入</t>
  </si>
  <si>
    <t>期间</t>
  </si>
  <si>
    <t>期间差异</t>
  </si>
  <si>
    <t>差异率</t>
  </si>
  <si>
    <t>累计偏离</t>
  </si>
  <si>
    <t>2024年第1季度</t>
  </si>
  <si>
    <t>2024年第2季度</t>
  </si>
  <si>
    <t>2024年第3季度</t>
  </si>
  <si>
    <t>2024年第4季度</t>
  </si>
  <si>
    <t>2025年第1季度</t>
  </si>
  <si>
    <t>2025年第2季度</t>
  </si>
  <si>
    <t>重大异常分析（Top 15）</t>
  </si>
  <si>
    <t>异常阈值：5%；异常分组：超支/节省分开排序</t>
  </si>
  <si>
    <t>说明：【待核实】标记的成因需人工核实确认</t>
  </si>
  <si>
    <t>排名</t>
  </si>
  <si>
    <t>分组</t>
  </si>
  <si>
    <t>影响分数</t>
  </si>
  <si>
    <t>差异类型</t>
  </si>
  <si>
    <t>成因分析（待核实）</t>
  </si>
  <si>
    <t>超支组</t>
  </si>
  <si>
    <t>不利差异</t>
  </si>
  <si>
    <t>【待核实】原材料采购价格上涨超出预期</t>
  </si>
  <si>
    <t>【待核实】人力成本超预算（加班/新增人员）</t>
  </si>
  <si>
    <t>【待核实】通胀因素导致物价普遍上涨</t>
  </si>
  <si>
    <t>【待核实】供应商议价能力变化或合同条款调整</t>
  </si>
  <si>
    <t>【待核实】意外支出或一次性费用发生</t>
  </si>
  <si>
    <t>【待核实】业务规模扩张导致相关成本增加</t>
  </si>
  <si>
    <t>【待核实】低效运营或浪费导致成本超支</t>
  </si>
  <si>
    <t>累计偏离分析（截至 2025年第2季度）</t>
  </si>
  <si>
    <t>累计预算</t>
  </si>
  <si>
    <t>累计实际</t>
  </si>
  <si>
    <t>累计偏离率</t>
  </si>
  <si>
    <t>相对差异(%)</t>
  </si>
  <si>
    <t>累计相对偏离(%)</t>
  </si>
</sst>
</file>

<file path=xl/styles.xml><?xml version="1.0" encoding="utf-8"?>
<styleSheet xmlns="http://schemas.openxmlformats.org/spreadsheetml/2006/main">
  <numFmts count="4">
    <numFmt numFmtId="164" formatCode="#,##0.00"/>
    <numFmt numFmtId="165" formatCode="+#,##0.00;-#,##0.00"/>
    <numFmt numFmtId="166" formatCode="+0.00%;-0.00%"/>
    <numFmt numFmtId="167" formatCode="#,##0"/>
  </numFmts>
  <fonts count="1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375623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i/>
      <sz val="11"/>
      <color rgb="FF80808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833C0B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165" fontId="4" fillId="4" borderId="1" xfId="0" applyNumberFormat="1" applyFont="1" applyFill="1" applyBorder="1"/>
    <xf numFmtId="166" fontId="4" fillId="4" borderId="1" xfId="0" applyNumberFormat="1" applyFont="1" applyFill="1" applyBorder="1"/>
    <xf numFmtId="0" fontId="5" fillId="5" borderId="1" xfId="0" applyFont="1" applyFill="1" applyBorder="1"/>
    <xf numFmtId="0" fontId="6" fillId="6" borderId="1" xfId="0" applyFont="1" applyFill="1" applyBorder="1"/>
    <xf numFmtId="0" fontId="7" fillId="0" borderId="0" xfId="0" applyFont="1"/>
    <xf numFmtId="0" fontId="0" fillId="0" borderId="1" xfId="0" applyBorder="1" applyAlignment="1">
      <alignment wrapText="1"/>
    </xf>
    <xf numFmtId="165" fontId="8" fillId="7" borderId="1" xfId="0" applyNumberFormat="1" applyFont="1" applyFill="1" applyBorder="1"/>
    <xf numFmtId="166" fontId="8" fillId="7" borderId="1" xfId="0" applyNumberFormat="1" applyFont="1" applyFill="1" applyBorder="1"/>
    <xf numFmtId="165" fontId="5" fillId="5" borderId="1" xfId="0" applyNumberFormat="1" applyFont="1" applyFill="1" applyBorder="1"/>
    <xf numFmtId="166" fontId="5" fillId="5" borderId="1" xfId="0" applyNumberFormat="1" applyFont="1" applyFill="1" applyBorder="1"/>
    <xf numFmtId="167" fontId="0" fillId="0" borderId="1" xfId="0" applyNumberFormat="1" applyBorder="1"/>
    <xf numFmtId="165" fontId="9" fillId="8" borderId="1" xfId="0" applyNumberFormat="1" applyFont="1" applyFill="1" applyBorder="1"/>
    <xf numFmtId="166" fontId="9" fillId="8" borderId="1" xfId="0" applyNumberFormat="1" applyFont="1" applyFill="1" applyBorder="1"/>
    <xf numFmtId="165" fontId="6" fillId="6" borderId="1" xfId="0" applyNumberFormat="1" applyFont="1" applyFill="1" applyBorder="1"/>
    <xf numFmtId="166" fontId="6" fillId="6" borderId="1" xfId="0" applyNumberFormat="1" applyFont="1" applyFill="1" applyBorder="1"/>
    <xf numFmtId="165" fontId="9" fillId="9" borderId="1" xfId="0" applyNumberFormat="1" applyFont="1" applyFill="1" applyBorder="1"/>
    <xf numFmtId="166" fontId="9" fillId="9" borderId="1" xfId="0" applyNumberFormat="1" applyFont="1" applyFill="1" applyBorder="1"/>
    <xf numFmtId="165" fontId="10" fillId="10" borderId="1" xfId="0" applyNumberFormat="1" applyFont="1" applyFill="1" applyBorder="1"/>
    <xf numFmtId="166" fontId="10" fillId="1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预算 vs 实际 趋势图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预算金额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strRef>
              <c:f>期间趋势分析!$A$2:$A$7</c:f>
              <c:strCache>
                <c:ptCount val="6"/>
                <c:pt idx="0">
                  <c:v>2024年第1季度</c:v>
                </c:pt>
                <c:pt idx="1">
                  <c:v>2024年第2季度</c:v>
                </c:pt>
                <c:pt idx="2">
                  <c:v>2024年第3季度</c:v>
                </c:pt>
                <c:pt idx="3">
                  <c:v>2024年第4季度</c:v>
                </c:pt>
                <c:pt idx="4">
                  <c:v>2025年第1季度</c:v>
                </c:pt>
                <c:pt idx="5">
                  <c:v>2025年第2季度</c:v>
                </c:pt>
              </c:strCache>
            </c:strRef>
          </c:cat>
          <c:val>
            <c:numRef>
              <c:f>期间趋势分析!$B$2:$B$7</c:f>
              <c:numCache>
                <c:formatCode>General</c:formatCode>
                <c:ptCount val="6"/>
                <c:pt idx="0">
                  <c:v>9069000</c:v>
                </c:pt>
                <c:pt idx="1">
                  <c:v>9944000</c:v>
                </c:pt>
                <c:pt idx="2">
                  <c:v>10995000</c:v>
                </c:pt>
                <c:pt idx="3">
                  <c:v>12046000</c:v>
                </c:pt>
                <c:pt idx="4">
                  <c:v>9597000</c:v>
                </c:pt>
                <c:pt idx="5">
                  <c:v>10296000</c:v>
                </c:pt>
              </c:numCache>
            </c:numRef>
          </c:val>
        </c:ser>
        <c:ser>
          <c:idx val="1"/>
          <c:order val="1"/>
          <c:tx>
            <c:v>实际金额</c:v>
          </c:tx>
          <c:spPr>
            <a:ln>
              <a:solidFill>
                <a:srgbClr val="008000"/>
              </a:solidFill>
            </a:ln>
          </c:spPr>
          <c:marker>
            <c:symbol val="none"/>
          </c:marker>
          <c:cat>
            <c:strRef>
              <c:f>期间趋势分析!$A$2:$A$7</c:f>
              <c:strCache>
                <c:ptCount val="6"/>
                <c:pt idx="0">
                  <c:v>2024年第1季度</c:v>
                </c:pt>
                <c:pt idx="1">
                  <c:v>2024年第2季度</c:v>
                </c:pt>
                <c:pt idx="2">
                  <c:v>2024年第3季度</c:v>
                </c:pt>
                <c:pt idx="3">
                  <c:v>2024年第4季度</c:v>
                </c:pt>
                <c:pt idx="4">
                  <c:v>2025年第1季度</c:v>
                </c:pt>
                <c:pt idx="5">
                  <c:v>2025年第2季度</c:v>
                </c:pt>
              </c:strCache>
            </c:strRef>
          </c:cat>
          <c:val>
            <c:numRef>
              <c:f>期间趋势分析!$C$2:$C$7</c:f>
              <c:numCache>
                <c:formatCode>General</c:formatCode>
                <c:ptCount val="6"/>
                <c:pt idx="0">
                  <c:v>9568000</c:v>
                </c:pt>
                <c:pt idx="1">
                  <c:v>10621000</c:v>
                </c:pt>
                <c:pt idx="2">
                  <c:v>11736500</c:v>
                </c:pt>
                <c:pt idx="3">
                  <c:v>12532000</c:v>
                </c:pt>
                <c:pt idx="4">
                  <c:v>10259800</c:v>
                </c:pt>
                <c:pt idx="5">
                  <c:v>10846500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期间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金额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18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E28"/>
  <sheetViews>
    <sheetView tabSelected="1" workbookViewId="0"/>
  </sheetViews>
  <sheetFormatPr defaultRowHeight="15"/>
  <cols>
    <col min="1" max="1" width="3.7109375" customWidth="1"/>
    <col min="2" max="3" width="25.7109375" customWidth="1"/>
    <col min="4" max="4" width="30.7109375" customWidth="1"/>
  </cols>
  <sheetData>
    <row r="2" spans="2:5" ht="40" customHeight="1">
      <c r="B2" s="1" t="s">
        <v>0</v>
      </c>
      <c r="C2" s="1"/>
      <c r="D2" s="1"/>
      <c r="E2" s="1"/>
    </row>
    <row r="5" spans="2:5">
      <c r="B5" s="2" t="s">
        <v>1</v>
      </c>
      <c r="C5" t="s">
        <v>2</v>
      </c>
    </row>
    <row r="6" spans="2:5">
      <c r="B6" s="2" t="s">
        <v>3</v>
      </c>
      <c r="C6" t="s">
        <v>4</v>
      </c>
    </row>
    <row r="7" spans="2:5">
      <c r="B7" s="3" t="s">
        <v>11</v>
      </c>
      <c r="C7" s="3"/>
      <c r="D7" s="3"/>
      <c r="E7" s="3"/>
    </row>
    <row r="8" spans="2:5">
      <c r="B8" s="2" t="s">
        <v>7</v>
      </c>
      <c r="C8" t="s">
        <v>8</v>
      </c>
    </row>
    <row r="9" spans="2:5">
      <c r="B9" s="2" t="s">
        <v>9</v>
      </c>
      <c r="C9" t="s">
        <v>10</v>
      </c>
    </row>
    <row r="12" spans="2:5">
      <c r="B12" s="2" t="s">
        <v>12</v>
      </c>
      <c r="C12" s="4">
        <v>61947000</v>
      </c>
    </row>
    <row r="13" spans="2:5">
      <c r="B13" s="2" t="s">
        <v>13</v>
      </c>
      <c r="C13" s="4">
        <v>65563800</v>
      </c>
    </row>
    <row r="14" spans="2:5">
      <c r="B14" s="2" t="s">
        <v>14</v>
      </c>
      <c r="C14" s="5">
        <v>3616800</v>
      </c>
    </row>
    <row r="15" spans="2:5">
      <c r="B15" s="2" t="s">
        <v>15</v>
      </c>
      <c r="C15" s="6">
        <v>0.05838539396580948</v>
      </c>
    </row>
    <row r="17" spans="2:5">
      <c r="B17" s="3" t="s">
        <v>16</v>
      </c>
      <c r="C17" s="3"/>
      <c r="D17" s="3"/>
      <c r="E17" s="3"/>
    </row>
    <row r="19" spans="2:5">
      <c r="B19" s="2" t="s">
        <v>17</v>
      </c>
      <c r="C19" s="7">
        <v>9</v>
      </c>
    </row>
    <row r="20" spans="2:5">
      <c r="B20" s="2" t="s">
        <v>18</v>
      </c>
      <c r="C20" s="8">
        <v>0</v>
      </c>
    </row>
    <row r="21" spans="2:5">
      <c r="B21" s="2" t="s">
        <v>19</v>
      </c>
      <c r="C21" s="4">
        <v>0</v>
      </c>
    </row>
    <row r="23" spans="2:5">
      <c r="B23" s="3" t="s">
        <v>20</v>
      </c>
      <c r="C23" s="3"/>
      <c r="D23" s="3"/>
      <c r="E23" s="3"/>
    </row>
    <row r="25" spans="2:5">
      <c r="B25" s="9" t="s">
        <v>21</v>
      </c>
    </row>
    <row r="26" spans="2:5">
      <c r="B26" s="9" t="s">
        <v>22</v>
      </c>
    </row>
    <row r="27" spans="2:5">
      <c r="B27" s="9" t="s">
        <v>23</v>
      </c>
    </row>
    <row r="28" spans="2:5">
      <c r="B28" s="9" t="s">
        <v>24</v>
      </c>
    </row>
  </sheetData>
  <mergeCells count="4">
    <mergeCell ref="B2:E2"/>
    <mergeCell ref="B7:E7"/>
    <mergeCell ref="B17:E17"/>
    <mergeCell ref="B23:E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20.7109375" customWidth="1"/>
    <col min="3" max="5" width="15.7109375" customWidth="1"/>
    <col min="6" max="6" width="12.7109375" customWidth="1"/>
  </cols>
  <sheetData>
    <row r="1" spans="1: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</row>
    <row r="2" spans="1:6">
      <c r="A2" s="10" t="s">
        <v>31</v>
      </c>
      <c r="B2" s="10" t="s">
        <v>32</v>
      </c>
      <c r="C2" s="4">
        <v>33700000</v>
      </c>
      <c r="D2" s="4">
        <v>35230000</v>
      </c>
      <c r="E2" s="11">
        <v>1530000</v>
      </c>
      <c r="F2" s="12">
        <v>0.0454</v>
      </c>
    </row>
    <row r="3" spans="1:6">
      <c r="A3" s="10" t="s">
        <v>33</v>
      </c>
      <c r="B3" s="10" t="s">
        <v>34</v>
      </c>
      <c r="C3" s="4">
        <v>20220000</v>
      </c>
      <c r="D3" s="4">
        <v>21520000</v>
      </c>
      <c r="E3" s="5">
        <v>1300000</v>
      </c>
      <c r="F3" s="6">
        <v>0.0643</v>
      </c>
    </row>
    <row r="4" spans="1:6">
      <c r="A4" s="10" t="s">
        <v>35</v>
      </c>
      <c r="B4" s="10" t="s">
        <v>36</v>
      </c>
      <c r="C4" s="4">
        <v>2160000</v>
      </c>
      <c r="D4" s="4">
        <v>2488000</v>
      </c>
      <c r="E4" s="13">
        <v>328000</v>
      </c>
      <c r="F4" s="14">
        <v>0.1519</v>
      </c>
    </row>
    <row r="5" spans="1:6">
      <c r="A5" s="10" t="s">
        <v>37</v>
      </c>
      <c r="B5" s="10" t="s">
        <v>38</v>
      </c>
      <c r="C5" s="4">
        <v>3370000</v>
      </c>
      <c r="D5" s="4">
        <v>3583000</v>
      </c>
      <c r="E5" s="5">
        <v>213000</v>
      </c>
      <c r="F5" s="6">
        <v>0.06320000000000001</v>
      </c>
    </row>
    <row r="6" spans="1:6">
      <c r="A6" s="10" t="s">
        <v>39</v>
      </c>
      <c r="B6" s="10" t="s">
        <v>40</v>
      </c>
      <c r="C6" s="4">
        <v>1350000</v>
      </c>
      <c r="D6" s="4">
        <v>1464000</v>
      </c>
      <c r="E6" s="5">
        <v>114000</v>
      </c>
      <c r="F6" s="6">
        <v>0.08439999999999999</v>
      </c>
    </row>
    <row r="7" spans="1:6">
      <c r="A7" s="10" t="s">
        <v>41</v>
      </c>
      <c r="B7" s="10" t="s">
        <v>42</v>
      </c>
      <c r="C7" s="4">
        <v>540000</v>
      </c>
      <c r="D7" s="4">
        <v>635000</v>
      </c>
      <c r="E7" s="13">
        <v>95000</v>
      </c>
      <c r="F7" s="14">
        <v>0.1759</v>
      </c>
    </row>
    <row r="8" spans="1:6">
      <c r="A8" s="10" t="s">
        <v>43</v>
      </c>
      <c r="B8" s="10" t="s">
        <v>44</v>
      </c>
      <c r="C8" s="4">
        <v>337000</v>
      </c>
      <c r="D8" s="4">
        <v>352300</v>
      </c>
      <c r="E8" s="11">
        <v>15300</v>
      </c>
      <c r="F8" s="12">
        <v>0.0454</v>
      </c>
    </row>
    <row r="9" spans="1:6">
      <c r="A9" s="10" t="s">
        <v>45</v>
      </c>
      <c r="B9" s="10" t="s">
        <v>46</v>
      </c>
      <c r="C9" s="4">
        <v>90000</v>
      </c>
      <c r="D9" s="4">
        <v>103500</v>
      </c>
      <c r="E9" s="13">
        <v>13500</v>
      </c>
      <c r="F9" s="14">
        <v>0.15</v>
      </c>
    </row>
    <row r="10" spans="1:6">
      <c r="A10" s="10" t="s">
        <v>47</v>
      </c>
      <c r="B10" s="10" t="s">
        <v>48</v>
      </c>
      <c r="C10" s="4">
        <v>180000</v>
      </c>
      <c r="D10" s="4">
        <v>188000</v>
      </c>
      <c r="E10" s="11">
        <v>8000</v>
      </c>
      <c r="F10" s="12">
        <v>0.0444</v>
      </c>
    </row>
  </sheetData>
  <autoFilter ref="A1:F1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.7109375" customWidth="1"/>
    <col min="2" max="4" width="15.7109375" customWidth="1"/>
    <col min="5" max="5" width="12.7109375" customWidth="1"/>
    <col min="6" max="6" width="15.7109375" customWidth="1"/>
  </cols>
  <sheetData>
    <row r="1" spans="1:6">
      <c r="A1" s="3" t="s">
        <v>49</v>
      </c>
      <c r="B1" s="3" t="s">
        <v>27</v>
      </c>
      <c r="C1" s="3" t="s">
        <v>28</v>
      </c>
      <c r="D1" s="3" t="s">
        <v>50</v>
      </c>
      <c r="E1" s="3" t="s">
        <v>51</v>
      </c>
      <c r="F1" s="3" t="s">
        <v>52</v>
      </c>
    </row>
    <row r="2" spans="1:6">
      <c r="A2" s="10" t="s">
        <v>53</v>
      </c>
      <c r="B2" s="4">
        <v>9069000</v>
      </c>
      <c r="C2" s="4">
        <v>9568000</v>
      </c>
      <c r="D2" s="5">
        <v>499000</v>
      </c>
      <c r="E2" s="6">
        <v>0.055</v>
      </c>
      <c r="F2" s="11">
        <v>13000</v>
      </c>
    </row>
    <row r="3" spans="1:6">
      <c r="A3" s="10" t="s">
        <v>54</v>
      </c>
      <c r="B3" s="4">
        <v>9944000</v>
      </c>
      <c r="C3" s="4">
        <v>10621000</v>
      </c>
      <c r="D3" s="5">
        <v>677000</v>
      </c>
      <c r="E3" s="6">
        <v>0.06809999999999999</v>
      </c>
      <c r="F3" s="11">
        <v>38000</v>
      </c>
    </row>
    <row r="4" spans="1:6">
      <c r="A4" s="10" t="s">
        <v>55</v>
      </c>
      <c r="B4" s="4">
        <v>10995000</v>
      </c>
      <c r="C4" s="4">
        <v>11736500</v>
      </c>
      <c r="D4" s="5">
        <v>741500</v>
      </c>
      <c r="E4" s="6">
        <v>0.0674</v>
      </c>
      <c r="F4" s="11">
        <v>63000</v>
      </c>
    </row>
    <row r="5" spans="1:6">
      <c r="A5" s="10" t="s">
        <v>56</v>
      </c>
      <c r="B5" s="4">
        <v>12046000</v>
      </c>
      <c r="C5" s="4">
        <v>12532000</v>
      </c>
      <c r="D5" s="11">
        <v>486000</v>
      </c>
      <c r="E5" s="12">
        <v>0.0403</v>
      </c>
      <c r="F5" s="11">
        <v>76000</v>
      </c>
    </row>
    <row r="6" spans="1:6">
      <c r="A6" s="10" t="s">
        <v>57</v>
      </c>
      <c r="B6" s="4">
        <v>9597000</v>
      </c>
      <c r="C6" s="4">
        <v>10259800</v>
      </c>
      <c r="D6" s="5">
        <v>662800</v>
      </c>
      <c r="E6" s="6">
        <v>0.06909999999999999</v>
      </c>
      <c r="F6" s="11">
        <v>94000</v>
      </c>
    </row>
    <row r="7" spans="1:6">
      <c r="A7" s="10" t="s">
        <v>58</v>
      </c>
      <c r="B7" s="4">
        <v>10296000</v>
      </c>
      <c r="C7" s="4">
        <v>10846500</v>
      </c>
      <c r="D7" s="5">
        <v>550500</v>
      </c>
      <c r="E7" s="6">
        <v>0.0535</v>
      </c>
      <c r="F7" s="11">
        <v>114000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9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5"/>
  <cols>
    <col min="1" max="1" width="6.7109375" customWidth="1"/>
    <col min="2" max="2" width="16.7109375" customWidth="1"/>
    <col min="3" max="3" width="10.7109375" customWidth="1"/>
    <col min="4" max="4" width="18.7109375" customWidth="1"/>
    <col min="5" max="5" width="10.7109375" customWidth="1"/>
    <col min="6" max="6" width="15.7109375" customWidth="1"/>
    <col min="7" max="7" width="12.7109375" customWidth="1"/>
    <col min="8" max="9" width="10.7109375" customWidth="1"/>
    <col min="10" max="10" width="40.7109375" customWidth="1"/>
  </cols>
  <sheetData>
    <row r="1" spans="1:10" ht="30" customHeight="1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9" t="s">
        <v>60</v>
      </c>
      <c r="B2" s="9" t="s">
        <v>61</v>
      </c>
    </row>
    <row r="4" spans="1:10">
      <c r="A4" s="3" t="s">
        <v>62</v>
      </c>
      <c r="B4" s="3" t="s">
        <v>63</v>
      </c>
      <c r="C4" s="3" t="s">
        <v>25</v>
      </c>
      <c r="D4" s="3" t="s">
        <v>26</v>
      </c>
      <c r="E4" s="3" t="s">
        <v>49</v>
      </c>
      <c r="F4" s="3" t="s">
        <v>29</v>
      </c>
      <c r="G4" s="3" t="s">
        <v>30</v>
      </c>
      <c r="H4" s="3" t="s">
        <v>64</v>
      </c>
      <c r="I4" s="3" t="s">
        <v>65</v>
      </c>
      <c r="J4" s="3" t="s">
        <v>66</v>
      </c>
    </row>
    <row r="5" spans="1:10">
      <c r="A5" s="15">
        <v>1</v>
      </c>
      <c r="B5" s="10" t="s">
        <v>67</v>
      </c>
      <c r="C5" s="10" t="s">
        <v>33</v>
      </c>
      <c r="D5" s="10" t="s">
        <v>34</v>
      </c>
      <c r="E5" s="10" t="s">
        <v>54</v>
      </c>
      <c r="F5" s="5">
        <v>280000</v>
      </c>
      <c r="G5" s="6">
        <v>0.0864</v>
      </c>
      <c r="H5" s="4">
        <v>4.49</v>
      </c>
      <c r="I5" s="8" t="s">
        <v>68</v>
      </c>
      <c r="J5" s="10" t="s">
        <v>69</v>
      </c>
    </row>
    <row r="6" spans="1:10">
      <c r="A6" s="15">
        <v>2</v>
      </c>
      <c r="B6" s="10" t="s">
        <v>67</v>
      </c>
      <c r="C6" s="10" t="s">
        <v>33</v>
      </c>
      <c r="D6" s="10" t="s">
        <v>34</v>
      </c>
      <c r="E6" s="10" t="s">
        <v>55</v>
      </c>
      <c r="F6" s="5">
        <v>250000</v>
      </c>
      <c r="G6" s="6">
        <v>0.0694</v>
      </c>
      <c r="H6" s="4">
        <v>3.78</v>
      </c>
      <c r="I6" s="8" t="s">
        <v>68</v>
      </c>
      <c r="J6" s="10" t="s">
        <v>69</v>
      </c>
    </row>
    <row r="7" spans="1:10">
      <c r="A7" s="15">
        <v>3</v>
      </c>
      <c r="B7" s="10" t="s">
        <v>67</v>
      </c>
      <c r="C7" s="10" t="s">
        <v>33</v>
      </c>
      <c r="D7" s="10" t="s">
        <v>34</v>
      </c>
      <c r="E7" s="10" t="s">
        <v>57</v>
      </c>
      <c r="F7" s="5">
        <v>230000</v>
      </c>
      <c r="G7" s="6">
        <v>0.0737</v>
      </c>
      <c r="H7" s="4">
        <v>3.77</v>
      </c>
      <c r="I7" s="8" t="s">
        <v>68</v>
      </c>
      <c r="J7" s="10" t="s">
        <v>70</v>
      </c>
    </row>
    <row r="8" spans="1:10">
      <c r="A8" s="15">
        <v>4</v>
      </c>
      <c r="B8" s="10" t="s">
        <v>67</v>
      </c>
      <c r="C8" s="10" t="s">
        <v>33</v>
      </c>
      <c r="D8" s="10" t="s">
        <v>34</v>
      </c>
      <c r="E8" s="10" t="s">
        <v>53</v>
      </c>
      <c r="F8" s="5">
        <v>210000</v>
      </c>
      <c r="G8" s="6">
        <v>0.07139999999999999</v>
      </c>
      <c r="H8" s="4">
        <v>3.57</v>
      </c>
      <c r="I8" s="8" t="s">
        <v>68</v>
      </c>
      <c r="J8" s="10" t="s">
        <v>71</v>
      </c>
    </row>
    <row r="9" spans="1:10">
      <c r="A9" s="15">
        <v>5</v>
      </c>
      <c r="B9" s="10" t="s">
        <v>67</v>
      </c>
      <c r="C9" s="10" t="s">
        <v>33</v>
      </c>
      <c r="D9" s="10" t="s">
        <v>34</v>
      </c>
      <c r="E9" s="10" t="s">
        <v>58</v>
      </c>
      <c r="F9" s="5">
        <v>190000</v>
      </c>
      <c r="G9" s="6">
        <v>0.0565</v>
      </c>
      <c r="H9" s="4">
        <v>2.98</v>
      </c>
      <c r="I9" s="8" t="s">
        <v>68</v>
      </c>
      <c r="J9" s="10" t="s">
        <v>71</v>
      </c>
    </row>
    <row r="10" spans="1:10">
      <c r="A10" s="15">
        <v>6</v>
      </c>
      <c r="B10" s="10" t="s">
        <v>67</v>
      </c>
      <c r="C10" s="10" t="s">
        <v>35</v>
      </c>
      <c r="D10" s="10" t="s">
        <v>36</v>
      </c>
      <c r="E10" s="10" t="s">
        <v>57</v>
      </c>
      <c r="F10" s="16">
        <v>80000</v>
      </c>
      <c r="G10" s="17">
        <v>0.2222</v>
      </c>
      <c r="H10" s="4">
        <v>7.21</v>
      </c>
      <c r="I10" s="8" t="s">
        <v>68</v>
      </c>
      <c r="J10" s="10" t="s">
        <v>71</v>
      </c>
    </row>
    <row r="11" spans="1:10">
      <c r="A11" s="15">
        <v>7</v>
      </c>
      <c r="B11" s="10" t="s">
        <v>67</v>
      </c>
      <c r="C11" s="10" t="s">
        <v>35</v>
      </c>
      <c r="D11" s="10" t="s">
        <v>36</v>
      </c>
      <c r="E11" s="10" t="s">
        <v>53</v>
      </c>
      <c r="F11" s="16">
        <v>75000</v>
      </c>
      <c r="G11" s="17">
        <v>0.2083</v>
      </c>
      <c r="H11" s="4">
        <v>6.76</v>
      </c>
      <c r="I11" s="8" t="s">
        <v>68</v>
      </c>
      <c r="J11" s="10" t="s">
        <v>72</v>
      </c>
    </row>
    <row r="12" spans="1:10">
      <c r="A12" s="15">
        <v>8</v>
      </c>
      <c r="B12" s="10" t="s">
        <v>67</v>
      </c>
      <c r="C12" s="10" t="s">
        <v>35</v>
      </c>
      <c r="D12" s="10" t="s">
        <v>36</v>
      </c>
      <c r="E12" s="10" t="s">
        <v>56</v>
      </c>
      <c r="F12" s="13">
        <v>60000</v>
      </c>
      <c r="G12" s="14">
        <v>0.1667</v>
      </c>
      <c r="H12" s="4">
        <v>5.41</v>
      </c>
      <c r="I12" s="8" t="s">
        <v>68</v>
      </c>
      <c r="J12" s="10" t="s">
        <v>72</v>
      </c>
    </row>
    <row r="13" spans="1:10">
      <c r="A13" s="15">
        <v>9</v>
      </c>
      <c r="B13" s="10" t="s">
        <v>67</v>
      </c>
      <c r="C13" s="10" t="s">
        <v>35</v>
      </c>
      <c r="D13" s="10" t="s">
        <v>36</v>
      </c>
      <c r="E13" s="10" t="s">
        <v>55</v>
      </c>
      <c r="F13" s="13">
        <v>50000</v>
      </c>
      <c r="G13" s="14">
        <v>0.1389</v>
      </c>
      <c r="H13" s="4">
        <v>4.51</v>
      </c>
      <c r="I13" s="8" t="s">
        <v>68</v>
      </c>
      <c r="J13" s="10" t="s">
        <v>72</v>
      </c>
    </row>
    <row r="14" spans="1:10">
      <c r="A14" s="15">
        <v>10</v>
      </c>
      <c r="B14" s="10" t="s">
        <v>67</v>
      </c>
      <c r="C14" s="10" t="s">
        <v>37</v>
      </c>
      <c r="D14" s="10" t="s">
        <v>38</v>
      </c>
      <c r="E14" s="10" t="s">
        <v>55</v>
      </c>
      <c r="F14" s="5">
        <v>45000</v>
      </c>
      <c r="G14" s="6">
        <v>0.075</v>
      </c>
      <c r="H14" s="4">
        <v>2.56</v>
      </c>
      <c r="I14" s="8" t="s">
        <v>68</v>
      </c>
      <c r="J14" s="10" t="s">
        <v>73</v>
      </c>
    </row>
    <row r="15" spans="1:10">
      <c r="A15" s="15">
        <v>11</v>
      </c>
      <c r="B15" s="10" t="s">
        <v>67</v>
      </c>
      <c r="C15" s="10" t="s">
        <v>37</v>
      </c>
      <c r="D15" s="10" t="s">
        <v>38</v>
      </c>
      <c r="E15" s="10" t="s">
        <v>53</v>
      </c>
      <c r="F15" s="5">
        <v>43000</v>
      </c>
      <c r="G15" s="6">
        <v>0.08779999999999999</v>
      </c>
      <c r="H15" s="4">
        <v>2.92</v>
      </c>
      <c r="I15" s="8" t="s">
        <v>68</v>
      </c>
      <c r="J15" s="10" t="s">
        <v>70</v>
      </c>
    </row>
    <row r="16" spans="1:10">
      <c r="A16" s="15">
        <v>12</v>
      </c>
      <c r="B16" s="10" t="s">
        <v>67</v>
      </c>
      <c r="C16" s="10" t="s">
        <v>37</v>
      </c>
      <c r="D16" s="10" t="s">
        <v>38</v>
      </c>
      <c r="E16" s="10" t="s">
        <v>56</v>
      </c>
      <c r="F16" s="5">
        <v>40000</v>
      </c>
      <c r="G16" s="6">
        <v>0.06059999999999999</v>
      </c>
      <c r="H16" s="4">
        <v>2.09</v>
      </c>
      <c r="I16" s="8" t="s">
        <v>68</v>
      </c>
      <c r="J16" s="10" t="s">
        <v>70</v>
      </c>
    </row>
    <row r="17" spans="1:10">
      <c r="A17" s="15">
        <v>13</v>
      </c>
      <c r="B17" s="10" t="s">
        <v>67</v>
      </c>
      <c r="C17" s="10" t="s">
        <v>37</v>
      </c>
      <c r="D17" s="10" t="s">
        <v>38</v>
      </c>
      <c r="E17" s="10" t="s">
        <v>57</v>
      </c>
      <c r="F17" s="5">
        <v>35000</v>
      </c>
      <c r="G17" s="6">
        <v>0.0673</v>
      </c>
      <c r="H17" s="4">
        <v>2.26</v>
      </c>
      <c r="I17" s="8" t="s">
        <v>68</v>
      </c>
      <c r="J17" s="10" t="s">
        <v>74</v>
      </c>
    </row>
    <row r="18" spans="1:10">
      <c r="A18" s="15">
        <v>14</v>
      </c>
      <c r="B18" s="10" t="s">
        <v>67</v>
      </c>
      <c r="C18" s="10" t="s">
        <v>35</v>
      </c>
      <c r="D18" s="10" t="s">
        <v>36</v>
      </c>
      <c r="E18" s="10" t="s">
        <v>58</v>
      </c>
      <c r="F18" s="5">
        <v>35000</v>
      </c>
      <c r="G18" s="6">
        <v>0.09720000000000001</v>
      </c>
      <c r="H18" s="4">
        <v>3.15</v>
      </c>
      <c r="I18" s="8" t="s">
        <v>68</v>
      </c>
      <c r="J18" s="10" t="s">
        <v>75</v>
      </c>
    </row>
    <row r="19" spans="1:10">
      <c r="A19" s="15">
        <v>15</v>
      </c>
      <c r="B19" s="10" t="s">
        <v>67</v>
      </c>
      <c r="C19" s="10" t="s">
        <v>37</v>
      </c>
      <c r="D19" s="10" t="s">
        <v>38</v>
      </c>
      <c r="E19" s="10" t="s">
        <v>58</v>
      </c>
      <c r="F19" s="5">
        <v>30000</v>
      </c>
      <c r="G19" s="6">
        <v>0.0536</v>
      </c>
      <c r="H19" s="4">
        <v>1.81</v>
      </c>
      <c r="I19" s="8" t="s">
        <v>68</v>
      </c>
      <c r="J19" s="10" t="s">
        <v>69</v>
      </c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1" width="12.7109375" customWidth="1"/>
    <col min="2" max="2" width="20.7109375" customWidth="1"/>
    <col min="3" max="5" width="15.7109375" customWidth="1"/>
    <col min="6" max="6" width="12.7109375" customWidth="1"/>
  </cols>
  <sheetData>
    <row r="1" spans="1:6" ht="30" customHeight="1">
      <c r="A1" s="1" t="s">
        <v>76</v>
      </c>
      <c r="B1" s="1"/>
      <c r="C1" s="1"/>
      <c r="D1" s="1"/>
      <c r="E1" s="1"/>
      <c r="F1" s="1"/>
    </row>
    <row r="3" spans="1:6">
      <c r="A3" s="3" t="s">
        <v>25</v>
      </c>
      <c r="B3" s="3" t="s">
        <v>26</v>
      </c>
      <c r="C3" s="3" t="s">
        <v>77</v>
      </c>
      <c r="D3" s="3" t="s">
        <v>78</v>
      </c>
      <c r="E3" s="3" t="s">
        <v>52</v>
      </c>
      <c r="F3" s="3" t="s">
        <v>79</v>
      </c>
    </row>
    <row r="4" spans="1:6">
      <c r="A4" s="10" t="s">
        <v>31</v>
      </c>
      <c r="B4" s="10" t="s">
        <v>32</v>
      </c>
      <c r="C4" s="4">
        <v>33700000</v>
      </c>
      <c r="D4" s="4">
        <v>35230000</v>
      </c>
      <c r="E4" s="11">
        <v>1530000</v>
      </c>
      <c r="F4" s="12">
        <v>0.0454</v>
      </c>
    </row>
    <row r="5" spans="1:6">
      <c r="A5" s="10" t="s">
        <v>33</v>
      </c>
      <c r="B5" s="10" t="s">
        <v>34</v>
      </c>
      <c r="C5" s="4">
        <v>20220000</v>
      </c>
      <c r="D5" s="4">
        <v>21520000</v>
      </c>
      <c r="E5" s="5">
        <v>1300000</v>
      </c>
      <c r="F5" s="6">
        <v>0.0643</v>
      </c>
    </row>
    <row r="6" spans="1:6">
      <c r="A6" s="10" t="s">
        <v>35</v>
      </c>
      <c r="B6" s="10" t="s">
        <v>36</v>
      </c>
      <c r="C6" s="4">
        <v>2160000</v>
      </c>
      <c r="D6" s="4">
        <v>2488000</v>
      </c>
      <c r="E6" s="13">
        <v>328000</v>
      </c>
      <c r="F6" s="14">
        <v>0.1519</v>
      </c>
    </row>
    <row r="7" spans="1:6">
      <c r="A7" s="10" t="s">
        <v>37</v>
      </c>
      <c r="B7" s="10" t="s">
        <v>38</v>
      </c>
      <c r="C7" s="4">
        <v>3370000</v>
      </c>
      <c r="D7" s="4">
        <v>3583000</v>
      </c>
      <c r="E7" s="5">
        <v>213000</v>
      </c>
      <c r="F7" s="6">
        <v>0.06320000000000001</v>
      </c>
    </row>
    <row r="8" spans="1:6">
      <c r="A8" s="10" t="s">
        <v>39</v>
      </c>
      <c r="B8" s="10" t="s">
        <v>40</v>
      </c>
      <c r="C8" s="4">
        <v>1350000</v>
      </c>
      <c r="D8" s="4">
        <v>1464000</v>
      </c>
      <c r="E8" s="5">
        <v>114000</v>
      </c>
      <c r="F8" s="6">
        <v>0.08439999999999999</v>
      </c>
    </row>
    <row r="9" spans="1:6">
      <c r="A9" s="10" t="s">
        <v>41</v>
      </c>
      <c r="B9" s="10" t="s">
        <v>42</v>
      </c>
      <c r="C9" s="4">
        <v>540000</v>
      </c>
      <c r="D9" s="4">
        <v>635000</v>
      </c>
      <c r="E9" s="13">
        <v>95000</v>
      </c>
      <c r="F9" s="14">
        <v>0.1759</v>
      </c>
    </row>
    <row r="10" spans="1:6">
      <c r="A10" s="10" t="s">
        <v>43</v>
      </c>
      <c r="B10" s="10" t="s">
        <v>44</v>
      </c>
      <c r="C10" s="4">
        <v>337000</v>
      </c>
      <c r="D10" s="4">
        <v>352300</v>
      </c>
      <c r="E10" s="11">
        <v>15300</v>
      </c>
      <c r="F10" s="12">
        <v>0.0454</v>
      </c>
    </row>
    <row r="11" spans="1:6">
      <c r="A11" s="10" t="s">
        <v>45</v>
      </c>
      <c r="B11" s="10" t="s">
        <v>46</v>
      </c>
      <c r="C11" s="4">
        <v>90000</v>
      </c>
      <c r="D11" s="4">
        <v>103500</v>
      </c>
      <c r="E11" s="13">
        <v>13500</v>
      </c>
      <c r="F11" s="14">
        <v>0.15</v>
      </c>
    </row>
    <row r="12" spans="1:6">
      <c r="A12" s="10" t="s">
        <v>47</v>
      </c>
      <c r="B12" s="10" t="s">
        <v>48</v>
      </c>
      <c r="C12" s="4">
        <v>180000</v>
      </c>
      <c r="D12" s="4">
        <v>188000</v>
      </c>
      <c r="E12" s="11">
        <v>8000</v>
      </c>
      <c r="F12" s="12">
        <v>0.0444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5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8.7109375" customWidth="1"/>
    <col min="3" max="3" width="10.7109375" customWidth="1"/>
    <col min="4" max="10" width="12.7109375" customWidth="1"/>
    <col min="11" max="11" width="14.7109375" customWidth="1"/>
  </cols>
  <sheetData>
    <row r="1" spans="1:11">
      <c r="A1" s="3" t="s">
        <v>25</v>
      </c>
      <c r="B1" s="3" t="s">
        <v>26</v>
      </c>
      <c r="C1" s="3" t="s">
        <v>49</v>
      </c>
      <c r="D1" s="3" t="s">
        <v>27</v>
      </c>
      <c r="E1" s="3" t="s">
        <v>28</v>
      </c>
      <c r="F1" s="3" t="s">
        <v>29</v>
      </c>
      <c r="G1" s="3" t="s">
        <v>80</v>
      </c>
      <c r="H1" s="3" t="s">
        <v>77</v>
      </c>
      <c r="I1" s="3" t="s">
        <v>78</v>
      </c>
      <c r="J1" s="3" t="s">
        <v>52</v>
      </c>
      <c r="K1" s="3" t="s">
        <v>81</v>
      </c>
    </row>
    <row r="2" spans="1:11">
      <c r="A2" s="10" t="s">
        <v>31</v>
      </c>
      <c r="B2" s="10" t="s">
        <v>32</v>
      </c>
      <c r="C2" s="10" t="s">
        <v>53</v>
      </c>
      <c r="D2" s="4">
        <v>4900000</v>
      </c>
      <c r="E2" s="4">
        <v>5050000</v>
      </c>
      <c r="F2" s="11">
        <v>150000</v>
      </c>
      <c r="G2" s="12">
        <v>0.0306</v>
      </c>
      <c r="H2" s="4">
        <v>4900000</v>
      </c>
      <c r="I2" s="4">
        <v>5050000</v>
      </c>
      <c r="J2" s="11">
        <v>150000</v>
      </c>
      <c r="K2" s="12">
        <v>0.0306</v>
      </c>
    </row>
    <row r="3" spans="1:11">
      <c r="A3" s="10" t="s">
        <v>31</v>
      </c>
      <c r="B3" s="10" t="s">
        <v>32</v>
      </c>
      <c r="C3" s="10" t="s">
        <v>54</v>
      </c>
      <c r="D3" s="4">
        <v>5400000</v>
      </c>
      <c r="E3" s="4">
        <v>5700000</v>
      </c>
      <c r="F3" s="5">
        <v>300000</v>
      </c>
      <c r="G3" s="6">
        <v>0.0556</v>
      </c>
      <c r="H3" s="4">
        <v>10300000</v>
      </c>
      <c r="I3" s="4">
        <v>10750000</v>
      </c>
      <c r="J3" s="11">
        <v>450000</v>
      </c>
      <c r="K3" s="12">
        <v>0.0437</v>
      </c>
    </row>
    <row r="4" spans="1:11">
      <c r="A4" s="10" t="s">
        <v>31</v>
      </c>
      <c r="B4" s="10" t="s">
        <v>32</v>
      </c>
      <c r="C4" s="10" t="s">
        <v>55</v>
      </c>
      <c r="D4" s="4">
        <v>6000000</v>
      </c>
      <c r="E4" s="4">
        <v>6350000</v>
      </c>
      <c r="F4" s="5">
        <v>350000</v>
      </c>
      <c r="G4" s="6">
        <v>0.0583</v>
      </c>
      <c r="H4" s="4">
        <v>16300000</v>
      </c>
      <c r="I4" s="4">
        <v>17100000</v>
      </c>
      <c r="J4" s="11">
        <v>800000</v>
      </c>
      <c r="K4" s="12">
        <v>0.0491</v>
      </c>
    </row>
    <row r="5" spans="1:11">
      <c r="A5" s="10" t="s">
        <v>31</v>
      </c>
      <c r="B5" s="10" t="s">
        <v>32</v>
      </c>
      <c r="C5" s="10" t="s">
        <v>56</v>
      </c>
      <c r="D5" s="4">
        <v>6600000</v>
      </c>
      <c r="E5" s="4">
        <v>6800000</v>
      </c>
      <c r="F5" s="11">
        <v>200000</v>
      </c>
      <c r="G5" s="12">
        <v>0.0303</v>
      </c>
      <c r="H5" s="4">
        <v>22900000</v>
      </c>
      <c r="I5" s="4">
        <v>23900000</v>
      </c>
      <c r="J5" s="11">
        <v>1000000</v>
      </c>
      <c r="K5" s="12">
        <v>0.0437</v>
      </c>
    </row>
    <row r="6" spans="1:11">
      <c r="A6" s="10" t="s">
        <v>31</v>
      </c>
      <c r="B6" s="10" t="s">
        <v>32</v>
      </c>
      <c r="C6" s="10" t="s">
        <v>57</v>
      </c>
      <c r="D6" s="4">
        <v>5200000</v>
      </c>
      <c r="E6" s="4">
        <v>5480000</v>
      </c>
      <c r="F6" s="5">
        <v>280000</v>
      </c>
      <c r="G6" s="6">
        <v>0.0538</v>
      </c>
      <c r="H6" s="4">
        <v>28100000</v>
      </c>
      <c r="I6" s="4">
        <v>29380000</v>
      </c>
      <c r="J6" s="11">
        <v>1280000</v>
      </c>
      <c r="K6" s="12">
        <v>0.04559999999999999</v>
      </c>
    </row>
    <row r="7" spans="1:11">
      <c r="A7" s="10" t="s">
        <v>31</v>
      </c>
      <c r="B7" s="10" t="s">
        <v>32</v>
      </c>
      <c r="C7" s="10" t="s">
        <v>58</v>
      </c>
      <c r="D7" s="4">
        <v>5600000</v>
      </c>
      <c r="E7" s="4">
        <v>5850000</v>
      </c>
      <c r="F7" s="11">
        <v>250000</v>
      </c>
      <c r="G7" s="12">
        <v>0.0446</v>
      </c>
      <c r="H7" s="4">
        <v>33700000</v>
      </c>
      <c r="I7" s="4">
        <v>35230000</v>
      </c>
      <c r="J7" s="11">
        <v>1530000</v>
      </c>
      <c r="K7" s="12">
        <v>0.0454</v>
      </c>
    </row>
    <row r="8" spans="1:11">
      <c r="A8" s="10" t="s">
        <v>33</v>
      </c>
      <c r="B8" s="10" t="s">
        <v>34</v>
      </c>
      <c r="C8" s="10" t="s">
        <v>53</v>
      </c>
      <c r="D8" s="4">
        <v>2940000</v>
      </c>
      <c r="E8" s="4">
        <v>3150000</v>
      </c>
      <c r="F8" s="5">
        <v>210000</v>
      </c>
      <c r="G8" s="6">
        <v>0.07139999999999999</v>
      </c>
      <c r="H8" s="4">
        <v>2940000</v>
      </c>
      <c r="I8" s="4">
        <v>3150000</v>
      </c>
      <c r="J8" s="5">
        <v>210000</v>
      </c>
      <c r="K8" s="6">
        <v>0.07139999999999999</v>
      </c>
    </row>
    <row r="9" spans="1:11">
      <c r="A9" s="10" t="s">
        <v>33</v>
      </c>
      <c r="B9" s="10" t="s">
        <v>34</v>
      </c>
      <c r="C9" s="10" t="s">
        <v>54</v>
      </c>
      <c r="D9" s="4">
        <v>3240000</v>
      </c>
      <c r="E9" s="4">
        <v>3520000</v>
      </c>
      <c r="F9" s="5">
        <v>280000</v>
      </c>
      <c r="G9" s="6">
        <v>0.0864</v>
      </c>
      <c r="H9" s="4">
        <v>6180000</v>
      </c>
      <c r="I9" s="4">
        <v>6670000</v>
      </c>
      <c r="J9" s="5">
        <v>490000</v>
      </c>
      <c r="K9" s="6">
        <v>0.0793</v>
      </c>
    </row>
    <row r="10" spans="1:11">
      <c r="A10" s="10" t="s">
        <v>33</v>
      </c>
      <c r="B10" s="10" t="s">
        <v>34</v>
      </c>
      <c r="C10" s="10" t="s">
        <v>55</v>
      </c>
      <c r="D10" s="4">
        <v>3600000</v>
      </c>
      <c r="E10" s="4">
        <v>3850000</v>
      </c>
      <c r="F10" s="5">
        <v>250000</v>
      </c>
      <c r="G10" s="6">
        <v>0.0694</v>
      </c>
      <c r="H10" s="4">
        <v>9780000</v>
      </c>
      <c r="I10" s="4">
        <v>10520000</v>
      </c>
      <c r="J10" s="5">
        <v>740000</v>
      </c>
      <c r="K10" s="6">
        <v>0.0757</v>
      </c>
    </row>
    <row r="11" spans="1:11">
      <c r="A11" s="10" t="s">
        <v>33</v>
      </c>
      <c r="B11" s="10" t="s">
        <v>34</v>
      </c>
      <c r="C11" s="10" t="s">
        <v>56</v>
      </c>
      <c r="D11" s="4">
        <v>3960000</v>
      </c>
      <c r="E11" s="4">
        <v>4100000</v>
      </c>
      <c r="F11" s="11">
        <v>140000</v>
      </c>
      <c r="G11" s="12">
        <v>0.0354</v>
      </c>
      <c r="H11" s="4">
        <v>13740000</v>
      </c>
      <c r="I11" s="4">
        <v>14620000</v>
      </c>
      <c r="J11" s="5">
        <v>880000</v>
      </c>
      <c r="K11" s="6">
        <v>0.064</v>
      </c>
    </row>
    <row r="12" spans="1:11">
      <c r="A12" s="10" t="s">
        <v>33</v>
      </c>
      <c r="B12" s="10" t="s">
        <v>34</v>
      </c>
      <c r="C12" s="10" t="s">
        <v>57</v>
      </c>
      <c r="D12" s="4">
        <v>3120000</v>
      </c>
      <c r="E12" s="4">
        <v>3350000</v>
      </c>
      <c r="F12" s="5">
        <v>230000</v>
      </c>
      <c r="G12" s="6">
        <v>0.0737</v>
      </c>
      <c r="H12" s="4">
        <v>16860000</v>
      </c>
      <c r="I12" s="4">
        <v>17970000</v>
      </c>
      <c r="J12" s="5">
        <v>1110000</v>
      </c>
      <c r="K12" s="6">
        <v>0.0658</v>
      </c>
    </row>
    <row r="13" spans="1:11">
      <c r="A13" s="10" t="s">
        <v>33</v>
      </c>
      <c r="B13" s="10" t="s">
        <v>34</v>
      </c>
      <c r="C13" s="10" t="s">
        <v>58</v>
      </c>
      <c r="D13" s="4">
        <v>3360000</v>
      </c>
      <c r="E13" s="4">
        <v>3550000</v>
      </c>
      <c r="F13" s="5">
        <v>190000</v>
      </c>
      <c r="G13" s="6">
        <v>0.0565</v>
      </c>
      <c r="H13" s="4">
        <v>20220000</v>
      </c>
      <c r="I13" s="4">
        <v>21520000</v>
      </c>
      <c r="J13" s="5">
        <v>1300000</v>
      </c>
      <c r="K13" s="6">
        <v>0.0643</v>
      </c>
    </row>
    <row r="14" spans="1:11">
      <c r="A14" s="10" t="s">
        <v>43</v>
      </c>
      <c r="B14" s="10" t="s">
        <v>44</v>
      </c>
      <c r="C14" s="10" t="s">
        <v>53</v>
      </c>
      <c r="D14" s="4">
        <v>49000</v>
      </c>
      <c r="E14" s="4">
        <v>50500</v>
      </c>
      <c r="F14" s="11">
        <v>1500</v>
      </c>
      <c r="G14" s="12">
        <v>0.0306</v>
      </c>
      <c r="H14" s="4">
        <v>49000</v>
      </c>
      <c r="I14" s="4">
        <v>50500</v>
      </c>
      <c r="J14" s="11">
        <v>1500</v>
      </c>
      <c r="K14" s="12">
        <v>0.0306</v>
      </c>
    </row>
    <row r="15" spans="1:11">
      <c r="A15" s="10" t="s">
        <v>43</v>
      </c>
      <c r="B15" s="10" t="s">
        <v>44</v>
      </c>
      <c r="C15" s="10" t="s">
        <v>54</v>
      </c>
      <c r="D15" s="4">
        <v>54000</v>
      </c>
      <c r="E15" s="4">
        <v>57000</v>
      </c>
      <c r="F15" s="5">
        <v>3000</v>
      </c>
      <c r="G15" s="6">
        <v>0.0556</v>
      </c>
      <c r="H15" s="4">
        <v>103000</v>
      </c>
      <c r="I15" s="4">
        <v>107500</v>
      </c>
      <c r="J15" s="11">
        <v>4500</v>
      </c>
      <c r="K15" s="12">
        <v>0.0437</v>
      </c>
    </row>
    <row r="16" spans="1:11">
      <c r="A16" s="10" t="s">
        <v>43</v>
      </c>
      <c r="B16" s="10" t="s">
        <v>44</v>
      </c>
      <c r="C16" s="10" t="s">
        <v>55</v>
      </c>
      <c r="D16" s="4">
        <v>60000</v>
      </c>
      <c r="E16" s="4">
        <v>63500</v>
      </c>
      <c r="F16" s="5">
        <v>3500</v>
      </c>
      <c r="G16" s="6">
        <v>0.0583</v>
      </c>
      <c r="H16" s="4">
        <v>163000</v>
      </c>
      <c r="I16" s="4">
        <v>171000</v>
      </c>
      <c r="J16" s="11">
        <v>8000</v>
      </c>
      <c r="K16" s="12">
        <v>0.0491</v>
      </c>
    </row>
    <row r="17" spans="1:11">
      <c r="A17" s="10" t="s">
        <v>43</v>
      </c>
      <c r="B17" s="10" t="s">
        <v>44</v>
      </c>
      <c r="C17" s="10" t="s">
        <v>56</v>
      </c>
      <c r="D17" s="4">
        <v>66000</v>
      </c>
      <c r="E17" s="4">
        <v>68000</v>
      </c>
      <c r="F17" s="11">
        <v>2000</v>
      </c>
      <c r="G17" s="12">
        <v>0.0303</v>
      </c>
      <c r="H17" s="4">
        <v>229000</v>
      </c>
      <c r="I17" s="4">
        <v>239000</v>
      </c>
      <c r="J17" s="11">
        <v>10000</v>
      </c>
      <c r="K17" s="12">
        <v>0.0437</v>
      </c>
    </row>
    <row r="18" spans="1:11">
      <c r="A18" s="10" t="s">
        <v>43</v>
      </c>
      <c r="B18" s="10" t="s">
        <v>44</v>
      </c>
      <c r="C18" s="10" t="s">
        <v>57</v>
      </c>
      <c r="D18" s="4">
        <v>52000</v>
      </c>
      <c r="E18" s="4">
        <v>54800</v>
      </c>
      <c r="F18" s="5">
        <v>2800</v>
      </c>
      <c r="G18" s="6">
        <v>0.0538</v>
      </c>
      <c r="H18" s="4">
        <v>281000</v>
      </c>
      <c r="I18" s="4">
        <v>293800</v>
      </c>
      <c r="J18" s="11">
        <v>12800</v>
      </c>
      <c r="K18" s="12">
        <v>0.04559999999999999</v>
      </c>
    </row>
    <row r="19" spans="1:11">
      <c r="A19" s="10" t="s">
        <v>43</v>
      </c>
      <c r="B19" s="10" t="s">
        <v>44</v>
      </c>
      <c r="C19" s="10" t="s">
        <v>58</v>
      </c>
      <c r="D19" s="4">
        <v>56000</v>
      </c>
      <c r="E19" s="4">
        <v>58500</v>
      </c>
      <c r="F19" s="11">
        <v>2500</v>
      </c>
      <c r="G19" s="12">
        <v>0.0446</v>
      </c>
      <c r="H19" s="4">
        <v>337000</v>
      </c>
      <c r="I19" s="4">
        <v>352300</v>
      </c>
      <c r="J19" s="11">
        <v>15300</v>
      </c>
      <c r="K19" s="12">
        <v>0.0454</v>
      </c>
    </row>
    <row r="20" spans="1:11">
      <c r="A20" s="10" t="s">
        <v>37</v>
      </c>
      <c r="B20" s="10" t="s">
        <v>38</v>
      </c>
      <c r="C20" s="10" t="s">
        <v>53</v>
      </c>
      <c r="D20" s="4">
        <v>490000</v>
      </c>
      <c r="E20" s="4">
        <v>533000</v>
      </c>
      <c r="F20" s="5">
        <v>43000</v>
      </c>
      <c r="G20" s="6">
        <v>0.08779999999999999</v>
      </c>
      <c r="H20" s="4">
        <v>490000</v>
      </c>
      <c r="I20" s="4">
        <v>533000</v>
      </c>
      <c r="J20" s="5">
        <v>43000</v>
      </c>
      <c r="K20" s="6">
        <v>0.08779999999999999</v>
      </c>
    </row>
    <row r="21" spans="1:11">
      <c r="A21" s="10" t="s">
        <v>37</v>
      </c>
      <c r="B21" s="10" t="s">
        <v>38</v>
      </c>
      <c r="C21" s="10" t="s">
        <v>54</v>
      </c>
      <c r="D21" s="4">
        <v>540000</v>
      </c>
      <c r="E21" s="4">
        <v>560000</v>
      </c>
      <c r="F21" s="11">
        <v>20000</v>
      </c>
      <c r="G21" s="12">
        <v>0.03700000000000001</v>
      </c>
      <c r="H21" s="4">
        <v>1030000</v>
      </c>
      <c r="I21" s="4">
        <v>1093000</v>
      </c>
      <c r="J21" s="5">
        <v>63000</v>
      </c>
      <c r="K21" s="6">
        <v>0.0612</v>
      </c>
    </row>
    <row r="22" spans="1:11">
      <c r="A22" s="10" t="s">
        <v>37</v>
      </c>
      <c r="B22" s="10" t="s">
        <v>38</v>
      </c>
      <c r="C22" s="10" t="s">
        <v>55</v>
      </c>
      <c r="D22" s="4">
        <v>600000</v>
      </c>
      <c r="E22" s="4">
        <v>645000</v>
      </c>
      <c r="F22" s="5">
        <v>45000</v>
      </c>
      <c r="G22" s="6">
        <v>0.075</v>
      </c>
      <c r="H22" s="4">
        <v>1630000</v>
      </c>
      <c r="I22" s="4">
        <v>1738000</v>
      </c>
      <c r="J22" s="5">
        <v>108000</v>
      </c>
      <c r="K22" s="6">
        <v>0.0663</v>
      </c>
    </row>
    <row r="23" spans="1:11">
      <c r="A23" s="10" t="s">
        <v>37</v>
      </c>
      <c r="B23" s="10" t="s">
        <v>38</v>
      </c>
      <c r="C23" s="10" t="s">
        <v>56</v>
      </c>
      <c r="D23" s="4">
        <v>660000</v>
      </c>
      <c r="E23" s="4">
        <v>700000</v>
      </c>
      <c r="F23" s="5">
        <v>40000</v>
      </c>
      <c r="G23" s="6">
        <v>0.06059999999999999</v>
      </c>
      <c r="H23" s="4">
        <v>2290000</v>
      </c>
      <c r="I23" s="4">
        <v>2438000</v>
      </c>
      <c r="J23" s="5">
        <v>148000</v>
      </c>
      <c r="K23" s="6">
        <v>0.0646</v>
      </c>
    </row>
    <row r="24" spans="1:11">
      <c r="A24" s="10" t="s">
        <v>37</v>
      </c>
      <c r="B24" s="10" t="s">
        <v>38</v>
      </c>
      <c r="C24" s="10" t="s">
        <v>57</v>
      </c>
      <c r="D24" s="4">
        <v>520000</v>
      </c>
      <c r="E24" s="4">
        <v>555000</v>
      </c>
      <c r="F24" s="5">
        <v>35000</v>
      </c>
      <c r="G24" s="6">
        <v>0.0673</v>
      </c>
      <c r="H24" s="4">
        <v>2810000</v>
      </c>
      <c r="I24" s="4">
        <v>2993000</v>
      </c>
      <c r="J24" s="5">
        <v>183000</v>
      </c>
      <c r="K24" s="6">
        <v>0.06509999999999999</v>
      </c>
    </row>
    <row r="25" spans="1:11">
      <c r="A25" s="10" t="s">
        <v>37</v>
      </c>
      <c r="B25" s="10" t="s">
        <v>38</v>
      </c>
      <c r="C25" s="10" t="s">
        <v>58</v>
      </c>
      <c r="D25" s="4">
        <v>560000</v>
      </c>
      <c r="E25" s="4">
        <v>590000</v>
      </c>
      <c r="F25" s="5">
        <v>30000</v>
      </c>
      <c r="G25" s="6">
        <v>0.0536</v>
      </c>
      <c r="H25" s="4">
        <v>3370000</v>
      </c>
      <c r="I25" s="4">
        <v>3583000</v>
      </c>
      <c r="J25" s="5">
        <v>213000</v>
      </c>
      <c r="K25" s="6">
        <v>0.06320000000000001</v>
      </c>
    </row>
    <row r="26" spans="1:11">
      <c r="A26" s="10" t="s">
        <v>35</v>
      </c>
      <c r="B26" s="10" t="s">
        <v>36</v>
      </c>
      <c r="C26" s="10" t="s">
        <v>53</v>
      </c>
      <c r="D26" s="4">
        <v>360000</v>
      </c>
      <c r="E26" s="4">
        <v>435000</v>
      </c>
      <c r="F26" s="16">
        <v>75000</v>
      </c>
      <c r="G26" s="17">
        <v>0.2083</v>
      </c>
      <c r="H26" s="4">
        <v>360000</v>
      </c>
      <c r="I26" s="4">
        <v>435000</v>
      </c>
      <c r="J26" s="16">
        <v>75000</v>
      </c>
      <c r="K26" s="17">
        <v>0.2083</v>
      </c>
    </row>
    <row r="27" spans="1:11">
      <c r="A27" s="10" t="s">
        <v>35</v>
      </c>
      <c r="B27" s="10" t="s">
        <v>36</v>
      </c>
      <c r="C27" s="10" t="s">
        <v>54</v>
      </c>
      <c r="D27" s="4">
        <v>360000</v>
      </c>
      <c r="E27" s="4">
        <v>388000</v>
      </c>
      <c r="F27" s="5">
        <v>28000</v>
      </c>
      <c r="G27" s="6">
        <v>0.07780000000000001</v>
      </c>
      <c r="H27" s="4">
        <v>720000</v>
      </c>
      <c r="I27" s="4">
        <v>823000</v>
      </c>
      <c r="J27" s="13">
        <v>103000</v>
      </c>
      <c r="K27" s="14">
        <v>0.1431</v>
      </c>
    </row>
    <row r="28" spans="1:11">
      <c r="A28" s="10" t="s">
        <v>35</v>
      </c>
      <c r="B28" s="10" t="s">
        <v>36</v>
      </c>
      <c r="C28" s="10" t="s">
        <v>55</v>
      </c>
      <c r="D28" s="4">
        <v>360000</v>
      </c>
      <c r="E28" s="4">
        <v>410000</v>
      </c>
      <c r="F28" s="13">
        <v>50000</v>
      </c>
      <c r="G28" s="14">
        <v>0.1389</v>
      </c>
      <c r="H28" s="4">
        <v>1080000</v>
      </c>
      <c r="I28" s="4">
        <v>1233000</v>
      </c>
      <c r="J28" s="13">
        <v>153000</v>
      </c>
      <c r="K28" s="14">
        <v>0.1417</v>
      </c>
    </row>
    <row r="29" spans="1:11">
      <c r="A29" s="10" t="s">
        <v>35</v>
      </c>
      <c r="B29" s="10" t="s">
        <v>36</v>
      </c>
      <c r="C29" s="10" t="s">
        <v>56</v>
      </c>
      <c r="D29" s="4">
        <v>360000</v>
      </c>
      <c r="E29" s="4">
        <v>420000</v>
      </c>
      <c r="F29" s="13">
        <v>60000</v>
      </c>
      <c r="G29" s="14">
        <v>0.1667</v>
      </c>
      <c r="H29" s="4">
        <v>1440000</v>
      </c>
      <c r="I29" s="4">
        <v>1653000</v>
      </c>
      <c r="J29" s="13">
        <v>213000</v>
      </c>
      <c r="K29" s="14">
        <v>0.1479</v>
      </c>
    </row>
    <row r="30" spans="1:11">
      <c r="A30" s="10" t="s">
        <v>35</v>
      </c>
      <c r="B30" s="10" t="s">
        <v>36</v>
      </c>
      <c r="C30" s="10" t="s">
        <v>57</v>
      </c>
      <c r="D30" s="4">
        <v>360000</v>
      </c>
      <c r="E30" s="4">
        <v>440000</v>
      </c>
      <c r="F30" s="16">
        <v>80000</v>
      </c>
      <c r="G30" s="17">
        <v>0.2222</v>
      </c>
      <c r="H30" s="4">
        <v>1800000</v>
      </c>
      <c r="I30" s="4">
        <v>2093000</v>
      </c>
      <c r="J30" s="13">
        <v>293000</v>
      </c>
      <c r="K30" s="14">
        <v>0.1628</v>
      </c>
    </row>
    <row r="31" spans="1:11">
      <c r="A31" s="10" t="s">
        <v>35</v>
      </c>
      <c r="B31" s="10" t="s">
        <v>36</v>
      </c>
      <c r="C31" s="10" t="s">
        <v>58</v>
      </c>
      <c r="D31" s="4">
        <v>360000</v>
      </c>
      <c r="E31" s="4">
        <v>395000</v>
      </c>
      <c r="F31" s="5">
        <v>35000</v>
      </c>
      <c r="G31" s="6">
        <v>0.09720000000000001</v>
      </c>
      <c r="H31" s="4">
        <v>2160000</v>
      </c>
      <c r="I31" s="4">
        <v>2488000</v>
      </c>
      <c r="J31" s="13">
        <v>328000</v>
      </c>
      <c r="K31" s="14">
        <v>0.1519</v>
      </c>
    </row>
    <row r="32" spans="1:11">
      <c r="A32" s="10" t="s">
        <v>41</v>
      </c>
      <c r="B32" s="10" t="s">
        <v>42</v>
      </c>
      <c r="C32" s="10" t="s">
        <v>53</v>
      </c>
      <c r="D32" s="4">
        <v>90000</v>
      </c>
      <c r="E32" s="4">
        <v>98000</v>
      </c>
      <c r="F32" s="5">
        <v>8000</v>
      </c>
      <c r="G32" s="6">
        <v>0.08890000000000001</v>
      </c>
      <c r="H32" s="4">
        <v>90000</v>
      </c>
      <c r="I32" s="4">
        <v>98000</v>
      </c>
      <c r="J32" s="5">
        <v>8000</v>
      </c>
      <c r="K32" s="6">
        <v>0.08890000000000001</v>
      </c>
    </row>
    <row r="33" spans="1:11">
      <c r="A33" s="10" t="s">
        <v>41</v>
      </c>
      <c r="B33" s="10" t="s">
        <v>42</v>
      </c>
      <c r="C33" s="10" t="s">
        <v>54</v>
      </c>
      <c r="D33" s="4">
        <v>90000</v>
      </c>
      <c r="E33" s="4">
        <v>102000</v>
      </c>
      <c r="F33" s="13">
        <v>12000</v>
      </c>
      <c r="G33" s="14">
        <v>0.1333</v>
      </c>
      <c r="H33" s="4">
        <v>180000</v>
      </c>
      <c r="I33" s="4">
        <v>200000</v>
      </c>
      <c r="J33" s="13">
        <v>20000</v>
      </c>
      <c r="K33" s="14">
        <v>0.1111</v>
      </c>
    </row>
    <row r="34" spans="1:11">
      <c r="A34" s="10" t="s">
        <v>41</v>
      </c>
      <c r="B34" s="10" t="s">
        <v>42</v>
      </c>
      <c r="C34" s="10" t="s">
        <v>55</v>
      </c>
      <c r="D34" s="4">
        <v>90000</v>
      </c>
      <c r="E34" s="4">
        <v>108000</v>
      </c>
      <c r="F34" s="16">
        <v>18000</v>
      </c>
      <c r="G34" s="17">
        <v>0.2</v>
      </c>
      <c r="H34" s="4">
        <v>270000</v>
      </c>
      <c r="I34" s="4">
        <v>308000</v>
      </c>
      <c r="J34" s="13">
        <v>38000</v>
      </c>
      <c r="K34" s="14">
        <v>0.1407</v>
      </c>
    </row>
    <row r="35" spans="1:11">
      <c r="A35" s="10" t="s">
        <v>41</v>
      </c>
      <c r="B35" s="10" t="s">
        <v>42</v>
      </c>
      <c r="C35" s="10" t="s">
        <v>56</v>
      </c>
      <c r="D35" s="4">
        <v>90000</v>
      </c>
      <c r="E35" s="4">
        <v>112000</v>
      </c>
      <c r="F35" s="16">
        <v>22000</v>
      </c>
      <c r="G35" s="17">
        <v>0.2444</v>
      </c>
      <c r="H35" s="4">
        <v>360000</v>
      </c>
      <c r="I35" s="4">
        <v>420000</v>
      </c>
      <c r="J35" s="13">
        <v>60000</v>
      </c>
      <c r="K35" s="14">
        <v>0.1667</v>
      </c>
    </row>
    <row r="36" spans="1:11">
      <c r="A36" s="10" t="s">
        <v>41</v>
      </c>
      <c r="B36" s="10" t="s">
        <v>42</v>
      </c>
      <c r="C36" s="10" t="s">
        <v>57</v>
      </c>
      <c r="D36" s="4">
        <v>90000</v>
      </c>
      <c r="E36" s="4">
        <v>105000</v>
      </c>
      <c r="F36" s="13">
        <v>15000</v>
      </c>
      <c r="G36" s="14">
        <v>0.1667</v>
      </c>
      <c r="H36" s="4">
        <v>450000</v>
      </c>
      <c r="I36" s="4">
        <v>525000</v>
      </c>
      <c r="J36" s="13">
        <v>75000</v>
      </c>
      <c r="K36" s="14">
        <v>0.1667</v>
      </c>
    </row>
    <row r="37" spans="1:11">
      <c r="A37" s="10" t="s">
        <v>41</v>
      </c>
      <c r="B37" s="10" t="s">
        <v>42</v>
      </c>
      <c r="C37" s="10" t="s">
        <v>58</v>
      </c>
      <c r="D37" s="4">
        <v>90000</v>
      </c>
      <c r="E37" s="4">
        <v>110000</v>
      </c>
      <c r="F37" s="16">
        <v>20000</v>
      </c>
      <c r="G37" s="17">
        <v>0.2222</v>
      </c>
      <c r="H37" s="4">
        <v>540000</v>
      </c>
      <c r="I37" s="4">
        <v>635000</v>
      </c>
      <c r="J37" s="13">
        <v>95000</v>
      </c>
      <c r="K37" s="14">
        <v>0.1759</v>
      </c>
    </row>
    <row r="38" spans="1:11">
      <c r="A38" s="10" t="s">
        <v>47</v>
      </c>
      <c r="B38" s="10" t="s">
        <v>48</v>
      </c>
      <c r="C38" s="10" t="s">
        <v>53</v>
      </c>
      <c r="D38" s="4">
        <v>30000</v>
      </c>
      <c r="E38" s="4">
        <v>25000</v>
      </c>
      <c r="F38" s="18">
        <v>-5000</v>
      </c>
      <c r="G38" s="19">
        <v>-0.1667</v>
      </c>
      <c r="H38" s="4">
        <v>30000</v>
      </c>
      <c r="I38" s="4">
        <v>25000</v>
      </c>
      <c r="J38" s="18">
        <v>-5000</v>
      </c>
      <c r="K38" s="19">
        <v>-0.1667</v>
      </c>
    </row>
    <row r="39" spans="1:11">
      <c r="A39" s="10" t="s">
        <v>47</v>
      </c>
      <c r="B39" s="10" t="s">
        <v>48</v>
      </c>
      <c r="C39" s="10" t="s">
        <v>54</v>
      </c>
      <c r="D39" s="4">
        <v>30000</v>
      </c>
      <c r="E39" s="4">
        <v>42000</v>
      </c>
      <c r="F39" s="16">
        <v>12000</v>
      </c>
      <c r="G39" s="17">
        <v>0.4</v>
      </c>
      <c r="H39" s="4">
        <v>60000</v>
      </c>
      <c r="I39" s="4">
        <v>67000</v>
      </c>
      <c r="J39" s="13">
        <v>7000</v>
      </c>
      <c r="K39" s="14">
        <v>0.1167</v>
      </c>
    </row>
    <row r="40" spans="1:11">
      <c r="A40" s="10" t="s">
        <v>47</v>
      </c>
      <c r="B40" s="10" t="s">
        <v>48</v>
      </c>
      <c r="C40" s="10" t="s">
        <v>55</v>
      </c>
      <c r="D40" s="4">
        <v>30000</v>
      </c>
      <c r="E40" s="4">
        <v>20000</v>
      </c>
      <c r="F40" s="20">
        <v>-10000</v>
      </c>
      <c r="G40" s="21">
        <v>-0.3333</v>
      </c>
      <c r="H40" s="4">
        <v>90000</v>
      </c>
      <c r="I40" s="4">
        <v>87000</v>
      </c>
      <c r="J40" s="11">
        <v>-3000</v>
      </c>
      <c r="K40" s="12">
        <v>-0.0333</v>
      </c>
    </row>
    <row r="41" spans="1:11">
      <c r="A41" s="10" t="s">
        <v>47</v>
      </c>
      <c r="B41" s="10" t="s">
        <v>48</v>
      </c>
      <c r="C41" s="10" t="s">
        <v>56</v>
      </c>
      <c r="D41" s="4">
        <v>30000</v>
      </c>
      <c r="E41" s="4">
        <v>38000</v>
      </c>
      <c r="F41" s="16">
        <v>8000</v>
      </c>
      <c r="G41" s="17">
        <v>0.2667</v>
      </c>
      <c r="H41" s="4">
        <v>120000</v>
      </c>
      <c r="I41" s="4">
        <v>125000</v>
      </c>
      <c r="J41" s="11">
        <v>5000</v>
      </c>
      <c r="K41" s="12">
        <v>0.0417</v>
      </c>
    </row>
    <row r="42" spans="1:11">
      <c r="A42" s="10" t="s">
        <v>47</v>
      </c>
      <c r="B42" s="10" t="s">
        <v>48</v>
      </c>
      <c r="C42" s="10" t="s">
        <v>57</v>
      </c>
      <c r="D42" s="4">
        <v>30000</v>
      </c>
      <c r="E42" s="4">
        <v>28000</v>
      </c>
      <c r="F42" s="22">
        <v>-2000</v>
      </c>
      <c r="G42" s="23">
        <v>-0.0667</v>
      </c>
      <c r="H42" s="4">
        <v>150000</v>
      </c>
      <c r="I42" s="4">
        <v>153000</v>
      </c>
      <c r="J42" s="11">
        <v>3000</v>
      </c>
      <c r="K42" s="12">
        <v>0.02</v>
      </c>
    </row>
    <row r="43" spans="1:11">
      <c r="A43" s="10" t="s">
        <v>47</v>
      </c>
      <c r="B43" s="10" t="s">
        <v>48</v>
      </c>
      <c r="C43" s="10" t="s">
        <v>58</v>
      </c>
      <c r="D43" s="4">
        <v>30000</v>
      </c>
      <c r="E43" s="4">
        <v>35000</v>
      </c>
      <c r="F43" s="13">
        <v>5000</v>
      </c>
      <c r="G43" s="14">
        <v>0.1667</v>
      </c>
      <c r="H43" s="4">
        <v>180000</v>
      </c>
      <c r="I43" s="4">
        <v>188000</v>
      </c>
      <c r="J43" s="11">
        <v>8000</v>
      </c>
      <c r="K43" s="12">
        <v>0.0444</v>
      </c>
    </row>
    <row r="44" spans="1:11">
      <c r="A44" s="10" t="s">
        <v>45</v>
      </c>
      <c r="B44" s="10" t="s">
        <v>46</v>
      </c>
      <c r="C44" s="10" t="s">
        <v>53</v>
      </c>
      <c r="D44" s="4">
        <v>15000</v>
      </c>
      <c r="E44" s="4">
        <v>18500</v>
      </c>
      <c r="F44" s="16">
        <v>3500</v>
      </c>
      <c r="G44" s="17">
        <v>0.2333</v>
      </c>
      <c r="H44" s="4">
        <v>15000</v>
      </c>
      <c r="I44" s="4">
        <v>18500</v>
      </c>
      <c r="J44" s="16">
        <v>3500</v>
      </c>
      <c r="K44" s="17">
        <v>0.2333</v>
      </c>
    </row>
    <row r="45" spans="1:11">
      <c r="A45" s="10" t="s">
        <v>45</v>
      </c>
      <c r="B45" s="10" t="s">
        <v>46</v>
      </c>
      <c r="C45" s="10" t="s">
        <v>54</v>
      </c>
      <c r="D45" s="4">
        <v>15000</v>
      </c>
      <c r="E45" s="4">
        <v>12000</v>
      </c>
      <c r="F45" s="20">
        <v>-3000</v>
      </c>
      <c r="G45" s="21">
        <v>-0.2</v>
      </c>
      <c r="H45" s="4">
        <v>30000</v>
      </c>
      <c r="I45" s="4">
        <v>30500</v>
      </c>
      <c r="J45" s="11">
        <v>500</v>
      </c>
      <c r="K45" s="12">
        <v>0.0167</v>
      </c>
    </row>
    <row r="46" spans="1:11">
      <c r="A46" s="10" t="s">
        <v>45</v>
      </c>
      <c r="B46" s="10" t="s">
        <v>46</v>
      </c>
      <c r="C46" s="10" t="s">
        <v>55</v>
      </c>
      <c r="D46" s="4">
        <v>15000</v>
      </c>
      <c r="E46" s="4">
        <v>25000</v>
      </c>
      <c r="F46" s="16">
        <v>10000</v>
      </c>
      <c r="G46" s="17">
        <v>0.6667000000000001</v>
      </c>
      <c r="H46" s="4">
        <v>45000</v>
      </c>
      <c r="I46" s="4">
        <v>55500</v>
      </c>
      <c r="J46" s="16">
        <v>10500</v>
      </c>
      <c r="K46" s="17">
        <v>0.2333</v>
      </c>
    </row>
    <row r="47" spans="1:11">
      <c r="A47" s="10" t="s">
        <v>45</v>
      </c>
      <c r="B47" s="10" t="s">
        <v>46</v>
      </c>
      <c r="C47" s="10" t="s">
        <v>56</v>
      </c>
      <c r="D47" s="4">
        <v>15000</v>
      </c>
      <c r="E47" s="4">
        <v>16000</v>
      </c>
      <c r="F47" s="5">
        <v>1000</v>
      </c>
      <c r="G47" s="6">
        <v>0.0667</v>
      </c>
      <c r="H47" s="4">
        <v>60000</v>
      </c>
      <c r="I47" s="4">
        <v>71500</v>
      </c>
      <c r="J47" s="13">
        <v>11500</v>
      </c>
      <c r="K47" s="14">
        <v>0.1917</v>
      </c>
    </row>
    <row r="48" spans="1:11">
      <c r="A48" s="10" t="s">
        <v>45</v>
      </c>
      <c r="B48" s="10" t="s">
        <v>46</v>
      </c>
      <c r="C48" s="10" t="s">
        <v>57</v>
      </c>
      <c r="D48" s="4">
        <v>15000</v>
      </c>
      <c r="E48" s="4">
        <v>19000</v>
      </c>
      <c r="F48" s="16">
        <v>4000</v>
      </c>
      <c r="G48" s="17">
        <v>0.2667</v>
      </c>
      <c r="H48" s="4">
        <v>75000</v>
      </c>
      <c r="I48" s="4">
        <v>90500</v>
      </c>
      <c r="J48" s="16">
        <v>15500</v>
      </c>
      <c r="K48" s="17">
        <v>0.2067</v>
      </c>
    </row>
    <row r="49" spans="1:11">
      <c r="A49" s="10" t="s">
        <v>45</v>
      </c>
      <c r="B49" s="10" t="s">
        <v>46</v>
      </c>
      <c r="C49" s="10" t="s">
        <v>58</v>
      </c>
      <c r="D49" s="4">
        <v>15000</v>
      </c>
      <c r="E49" s="4">
        <v>13000</v>
      </c>
      <c r="F49" s="18">
        <v>-2000</v>
      </c>
      <c r="G49" s="19">
        <v>-0.1333</v>
      </c>
      <c r="H49" s="4">
        <v>90000</v>
      </c>
      <c r="I49" s="4">
        <v>103500</v>
      </c>
      <c r="J49" s="13">
        <v>13500</v>
      </c>
      <c r="K49" s="14">
        <v>0.15</v>
      </c>
    </row>
    <row r="50" spans="1:11">
      <c r="A50" s="10" t="s">
        <v>39</v>
      </c>
      <c r="B50" s="10" t="s">
        <v>40</v>
      </c>
      <c r="C50" s="10" t="s">
        <v>53</v>
      </c>
      <c r="D50" s="4">
        <v>195000</v>
      </c>
      <c r="E50" s="4">
        <v>208000</v>
      </c>
      <c r="F50" s="5">
        <v>13000</v>
      </c>
      <c r="G50" s="6">
        <v>0.0667</v>
      </c>
      <c r="H50" s="4">
        <v>195000</v>
      </c>
      <c r="I50" s="4">
        <v>208000</v>
      </c>
      <c r="J50" s="5">
        <v>13000</v>
      </c>
      <c r="K50" s="6">
        <v>0.0667</v>
      </c>
    </row>
    <row r="51" spans="1:11">
      <c r="A51" s="10" t="s">
        <v>39</v>
      </c>
      <c r="B51" s="10" t="s">
        <v>40</v>
      </c>
      <c r="C51" s="10" t="s">
        <v>54</v>
      </c>
      <c r="D51" s="4">
        <v>215000</v>
      </c>
      <c r="E51" s="4">
        <v>240000</v>
      </c>
      <c r="F51" s="13">
        <v>25000</v>
      </c>
      <c r="G51" s="14">
        <v>0.1163</v>
      </c>
      <c r="H51" s="4">
        <v>410000</v>
      </c>
      <c r="I51" s="4">
        <v>448000</v>
      </c>
      <c r="J51" s="5">
        <v>38000</v>
      </c>
      <c r="K51" s="6">
        <v>0.09269999999999999</v>
      </c>
    </row>
    <row r="52" spans="1:11">
      <c r="A52" s="10" t="s">
        <v>39</v>
      </c>
      <c r="B52" s="10" t="s">
        <v>40</v>
      </c>
      <c r="C52" s="10" t="s">
        <v>55</v>
      </c>
      <c r="D52" s="4">
        <v>240000</v>
      </c>
      <c r="E52" s="4">
        <v>265000</v>
      </c>
      <c r="F52" s="13">
        <v>25000</v>
      </c>
      <c r="G52" s="14">
        <v>0.1042</v>
      </c>
      <c r="H52" s="4">
        <v>650000</v>
      </c>
      <c r="I52" s="4">
        <v>713000</v>
      </c>
      <c r="J52" s="5">
        <v>63000</v>
      </c>
      <c r="K52" s="6">
        <v>0.0969</v>
      </c>
    </row>
    <row r="53" spans="1:11">
      <c r="A53" s="10" t="s">
        <v>39</v>
      </c>
      <c r="B53" s="10" t="s">
        <v>40</v>
      </c>
      <c r="C53" s="10" t="s">
        <v>56</v>
      </c>
      <c r="D53" s="4">
        <v>265000</v>
      </c>
      <c r="E53" s="4">
        <v>278000</v>
      </c>
      <c r="F53" s="11">
        <v>13000</v>
      </c>
      <c r="G53" s="12">
        <v>0.0491</v>
      </c>
      <c r="H53" s="4">
        <v>915000</v>
      </c>
      <c r="I53" s="4">
        <v>991000</v>
      </c>
      <c r="J53" s="5">
        <v>76000</v>
      </c>
      <c r="K53" s="6">
        <v>0.08310000000000001</v>
      </c>
    </row>
    <row r="54" spans="1:11">
      <c r="A54" s="10" t="s">
        <v>39</v>
      </c>
      <c r="B54" s="10" t="s">
        <v>40</v>
      </c>
      <c r="C54" s="10" t="s">
        <v>57</v>
      </c>
      <c r="D54" s="4">
        <v>210000</v>
      </c>
      <c r="E54" s="4">
        <v>228000</v>
      </c>
      <c r="F54" s="5">
        <v>18000</v>
      </c>
      <c r="G54" s="6">
        <v>0.0857</v>
      </c>
      <c r="H54" s="4">
        <v>1125000</v>
      </c>
      <c r="I54" s="4">
        <v>1219000</v>
      </c>
      <c r="J54" s="5">
        <v>94000</v>
      </c>
      <c r="K54" s="6">
        <v>0.08359999999999999</v>
      </c>
    </row>
    <row r="55" spans="1:11">
      <c r="A55" s="10" t="s">
        <v>39</v>
      </c>
      <c r="B55" s="10" t="s">
        <v>40</v>
      </c>
      <c r="C55" s="10" t="s">
        <v>58</v>
      </c>
      <c r="D55" s="4">
        <v>225000</v>
      </c>
      <c r="E55" s="4">
        <v>245000</v>
      </c>
      <c r="F55" s="5">
        <v>20000</v>
      </c>
      <c r="G55" s="6">
        <v>0.08890000000000001</v>
      </c>
      <c r="H55" s="4">
        <v>1350000</v>
      </c>
      <c r="I55" s="4">
        <v>1464000</v>
      </c>
      <c r="J55" s="5">
        <v>114000</v>
      </c>
      <c r="K55" s="6">
        <v>0.08439999999999999</v>
      </c>
    </row>
  </sheetData>
  <autoFilter ref="A1:K5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报告概览</vt:lpstr>
      <vt:lpstr>科目差异汇总</vt:lpstr>
      <vt:lpstr>期间趋势分析</vt:lpstr>
      <vt:lpstr>重大异常分析</vt:lpstr>
      <vt:lpstr>累计偏离分析</vt:lpstr>
      <vt:lpstr>详细数据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2026-06-17T07:29:18Z</dcterms:created>
  <dcterms:modified xsi:type="dcterms:W3CDTF">2026-06-17T07:29:18Z</dcterms:modified>
</cp:coreProperties>
</file>